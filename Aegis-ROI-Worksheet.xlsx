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ROI" sheetId="2" state="visible" r:id="rId4"/>
    <sheet name="Chargeback-Illustration" sheetId="3" state="visible" r:id="rId5"/>
    <sheet name="Notes &amp; Sourc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<sst xmlns="http://schemas.openxmlformats.org/spreadsheetml/2006/main" count="156" uniqueCount="149">
  <si>
    <t xml:space="preserve">Aegis — ROI &amp; Value Model</t>
  </si>
  <si>
    <t xml:space="preserve">Assumptions (edit the yellow input cells)</t>
  </si>
  <si>
    <t xml:space="preserve">All figures are ILLUSTRATIVE placeholders — replace with your own data. See 'Notes &amp; Sources'.</t>
  </si>
  <si>
    <t xml:space="preserve">Volume &amp; deflection</t>
  </si>
  <si>
    <t xml:space="preserve">Annual interaction volume</t>
  </si>
  <si>
    <t xml:space="preserve">cases/yr</t>
  </si>
  <si>
    <t xml:space="preserve">Illustrative. Replace with your contact-center / service-desk volume.</t>
  </si>
  <si>
    <t xml:space="preserve">% deflectable to self-service</t>
  </si>
  <si>
    <t xml:space="preserve">Share of volume an AI agent can fully self-serve. [ANALYST] range varies widely.</t>
  </si>
  <si>
    <t xml:space="preserve">% of remaining handled as agent-assisted</t>
  </si>
  <si>
    <t xml:space="preserve">Of non-deflected volume, share where the agent assists a human (time saved).</t>
  </si>
  <si>
    <t xml:space="preserve">Unit economics (self-service)</t>
  </si>
  <si>
    <t xml:space="preserve">Cost per live / agent-assisted contact</t>
  </si>
  <si>
    <t xml:space="preserve">$/contact</t>
  </si>
  <si>
    <t xml:space="preserve">[ANALYST] Gartner self-service economics (predecessor SLG evidence base).</t>
  </si>
  <si>
    <t xml:space="preserve">Cost per self-service contact</t>
  </si>
  <si>
    <t xml:space="preserve">Labor productivity</t>
  </si>
  <si>
    <t xml:space="preserve">Avg staff minutes saved per assisted case</t>
  </si>
  <si>
    <t xml:space="preserve">min</t>
  </si>
  <si>
    <t xml:space="preserve">Illustrative handle-time reduction on agent-assisted cases.</t>
  </si>
  <si>
    <t xml:space="preserve">Blended loaded labor cost</t>
  </si>
  <si>
    <t xml:space="preserve">$/hour</t>
  </si>
  <si>
    <t xml:space="preserve">Illustrative fully-loaded hourly cost (wages + benefits + overhead).</t>
  </si>
  <si>
    <t xml:space="preserve">Token / model cost (Bedrock)</t>
  </si>
  <si>
    <t xml:space="preserve">Est. tokens per interaction (in + out)</t>
  </si>
  <si>
    <t xml:space="preserve">tokens</t>
  </si>
  <si>
    <t xml:space="preserve">Illustrative. Depends on prompt size, RAG context, and model.</t>
  </si>
  <si>
    <t xml:space="preserve">Blended price per 1,000 tokens</t>
  </si>
  <si>
    <t xml:space="preserve">$/1k tok</t>
  </si>
  <si>
    <t xml:space="preserve">MODEL ASSUMPTION — set to your chosen Bedrock model's blended in/out price.</t>
  </si>
  <si>
    <t xml:space="preserve">Program cost &amp; scale</t>
  </si>
  <si>
    <t xml:space="preserve">Number of agents onboarded</t>
  </si>
  <si>
    <t xml:space="preserve">agents</t>
  </si>
  <si>
    <t xml:space="preserve">Agents live on the governed platform (chargeback attributes spend per dept).</t>
  </si>
  <si>
    <t xml:space="preserve">Annual platform + run cost</t>
  </si>
  <si>
    <t xml:space="preserve">$/yr</t>
  </si>
  <si>
    <t xml:space="preserve">Illustrative Aegis platform + AWS run cost (excl. token/model spend).</t>
  </si>
  <si>
    <t xml:space="preserve">One-time implementation cost</t>
  </si>
  <si>
    <t xml:space="preserve">$</t>
  </si>
  <si>
    <t xml:space="preserve">Illustrative build/engagement cost (connectors, IdP, packs, ATO prep).</t>
  </si>
  <si>
    <t xml:space="preserve">Legend:</t>
  </si>
  <si>
    <t xml:space="preserve">Yellow / blue = editable input</t>
  </si>
  <si>
    <t xml:space="preserve">Black = formula (do not overwrite)</t>
  </si>
  <si>
    <t xml:space="preserve">Green = pulled from another sheet</t>
  </si>
  <si>
    <t xml:space="preserve">ROI Summary</t>
  </si>
  <si>
    <t xml:space="preserve">Black = calculated formula. Green = linked from Assumptions. Change inputs on 'Assumptions'.</t>
  </si>
  <si>
    <t xml:space="preserve">Derived volumes</t>
  </si>
  <si>
    <t xml:space="preserve">Deflected volume (self-service)</t>
  </si>
  <si>
    <t xml:space="preserve">volume x % deflectable</t>
  </si>
  <si>
    <t xml:space="preserve">Assisted volume (human + agent)</t>
  </si>
  <si>
    <t xml:space="preserve">remaining x % assisted</t>
  </si>
  <si>
    <t xml:space="preserve">Annual benefits</t>
  </si>
  <si>
    <t xml:space="preserve">Deflection savings</t>
  </si>
  <si>
    <t xml:space="preserve">deflected x (live - self-service cost)</t>
  </si>
  <si>
    <t xml:space="preserve">Labor savings (assisted handle time)</t>
  </si>
  <si>
    <t xml:space="preserve">assisted x min/60 x labor rate</t>
  </si>
  <si>
    <t xml:space="preserve">Gross annual benefit</t>
  </si>
  <si>
    <t xml:space="preserve">deflection + labor savings</t>
  </si>
  <si>
    <t xml:space="preserve">Annual costs</t>
  </si>
  <si>
    <t xml:space="preserve">Token / model cost</t>
  </si>
  <si>
    <t xml:space="preserve">volume x tokens x $/1k / 1000</t>
  </si>
  <si>
    <t xml:space="preserve">Platform + run cost</t>
  </si>
  <si>
    <t xml:space="preserve">from Assumptions</t>
  </si>
  <si>
    <t xml:space="preserve">Total annual run cost</t>
  </si>
  <si>
    <t xml:space="preserve">token + platform</t>
  </si>
  <si>
    <t xml:space="preserve">Return</t>
  </si>
  <si>
    <t xml:space="preserve">Net annual benefit</t>
  </si>
  <si>
    <t xml:space="preserve">gross benefit - total annual cost</t>
  </si>
  <si>
    <t xml:space="preserve">Annual ROI %</t>
  </si>
  <si>
    <t xml:space="preserve">net annual benefit / total annual cost</t>
  </si>
  <si>
    <t xml:space="preserve">Simple payback</t>
  </si>
  <si>
    <t xml:space="preserve">implementation / net monthly benefit</t>
  </si>
  <si>
    <t xml:space="preserve">First-year net (incl. implementation)</t>
  </si>
  <si>
    <t xml:space="preserve">net annual benefit - one-time implementation</t>
  </si>
  <si>
    <t xml:space="preserve">Scenario sensitivity (varying % deflectable)</t>
  </si>
  <si>
    <t xml:space="preserve">Scenario</t>
  </si>
  <si>
    <t xml:space="preserve">% deflectable</t>
  </si>
  <si>
    <t xml:space="preserve">Labor savings</t>
  </si>
  <si>
    <t xml:space="preserve">Gross benefit</t>
  </si>
  <si>
    <t xml:space="preserve">Total cost</t>
  </si>
  <si>
    <t xml:space="preserve">Net benefit</t>
  </si>
  <si>
    <t xml:space="preserve">ROI %</t>
  </si>
  <si>
    <t xml:space="preserve">Payback</t>
  </si>
  <si>
    <t xml:space="preserve">Conservative</t>
  </si>
  <si>
    <t xml:space="preserve">Base</t>
  </si>
  <si>
    <t xml:space="preserve">Aggressive</t>
  </si>
  <si>
    <t xml:space="preserve">Base scenario mirrors the summary above. Only % deflectable is varied; edit blue cells to explore.</t>
  </si>
  <si>
    <t xml:space="preserve">Per-Department Chargeback (Illustrative)</t>
  </si>
  <si>
    <t xml:space="preserve">Bedrock application inference profiles (AIP) tag every call by dept / team / app / data_class.</t>
  </si>
  <si>
    <t xml:space="preserve">Cost = tokens x $/1k / 1000, using the blended token price from Assumptions. Replace with CUR data.</t>
  </si>
  <si>
    <t xml:space="preserve">Department</t>
  </si>
  <si>
    <t xml:space="preserve">Team</t>
  </si>
  <si>
    <t xml:space="preserve">Application</t>
  </si>
  <si>
    <t xml:space="preserve">Data class</t>
  </si>
  <si>
    <t xml:space="preserve">Tokens used (mo)</t>
  </si>
  <si>
    <t xml:space="preserve">Inference cost</t>
  </si>
  <si>
    <t xml:space="preserve">% of total</t>
  </si>
  <si>
    <t xml:space="preserve">Resident Services</t>
  </si>
  <si>
    <t xml:space="preserve">311/CRM</t>
  </si>
  <si>
    <t xml:space="preserve">svc-desk-agent</t>
  </si>
  <si>
    <t xml:space="preserve">pii</t>
  </si>
  <si>
    <t xml:space="preserve">Health &amp; Human Svcs</t>
  </si>
  <si>
    <t xml:space="preserve">Benefits</t>
  </si>
  <si>
    <t xml:space="preserve">eligibility-copilot</t>
  </si>
  <si>
    <t xml:space="preserve">phi</t>
  </si>
  <si>
    <t xml:space="preserve">Public Safety</t>
  </si>
  <si>
    <t xml:space="preserve">Records</t>
  </si>
  <si>
    <t xml:space="preserve">cji-lookup-agent</t>
  </si>
  <si>
    <t xml:space="preserve">cji</t>
  </si>
  <si>
    <t xml:space="preserve">Finance</t>
  </si>
  <si>
    <t xml:space="preserve">Procurement</t>
  </si>
  <si>
    <t xml:space="preserve">invoice-triage</t>
  </si>
  <si>
    <t xml:space="preserve">Total</t>
  </si>
  <si>
    <t xml:space="preserve">Note: token counts are illustrative placeholders. In production, the gateway meter + Cost Explorer/CUR are the financial truth (tags can lag up to 24h).</t>
  </si>
  <si>
    <t xml:space="preserve">The gateway enforces hard token caps in real time before spend occurs, so one runaway agent cannot blow the quarter.</t>
  </si>
  <si>
    <t xml:space="preserve">Notes, Assumptions &amp; Sources</t>
  </si>
  <si>
    <t xml:space="preserve">DISCLAIMER: Every number in this workbook is an ILLUSTRATIVE placeholder for modeling only. It is not a quote, forecast, or guarantee. Replace all yellow input cells with your own validated data before relying on any result. Aegis is a reference platform; it is not yet ATO'd / GovRAMP- or FedRAMP-certified, and "HIPAA-eligible" is not "HIPAA-compliant."</t>
  </si>
  <si>
    <t xml:space="preserve">Assumption / figure</t>
  </si>
  <si>
    <t xml:space="preserve">Source / tier</t>
  </si>
  <si>
    <t xml:space="preserve">Notes</t>
  </si>
  <si>
    <t xml:space="preserve">Cost per live / agent-assisted contact ($8.01)</t>
  </si>
  <si>
    <t xml:space="preserve">[ANALYST]</t>
  </si>
  <si>
    <t xml:space="preserve">Gartner self-service economics via the predecessor SLG evidence base (SOURCES.md §9). Illustrative.</t>
  </si>
  <si>
    <t xml:space="preserve">Cost per self-service contact ($0.10)</t>
  </si>
  <si>
    <t xml:space="preserve">% deflectable / % assisted</t>
  </si>
  <si>
    <t xml:space="preserve">[ANALYST] / customer</t>
  </si>
  <si>
    <t xml:space="preserve">Placeholder ranges; must be set from the customer's own workflow and channel mix.</t>
  </si>
  <si>
    <t xml:space="preserve">Tokens per interaction</t>
  </si>
  <si>
    <t xml:space="preserve">MODEL ASSUMPTION</t>
  </si>
  <si>
    <t xml:space="preserve">Depends on prompt size, RAG context, and model; validate against Bedrock invocation logging.</t>
  </si>
  <si>
    <t xml:space="preserve">Blended $ per 1,000 tokens</t>
  </si>
  <si>
    <t xml:space="preserve">Set to the chosen Bedrock model's blended in/out price. Not an analyst figure.</t>
  </si>
  <si>
    <t xml:space="preserve">Chargeback mechanism</t>
  </si>
  <si>
    <t xml:space="preserve">[AWS]</t>
  </si>
  <si>
    <t xml:space="preserve">Bedrock application inference profiles + cost-allocation tags -&gt; Cost Explorer / CUR (SOURCES.md §2; docs/05).</t>
  </si>
  <si>
    <t xml:space="preserve">Real-time token caps</t>
  </si>
  <si>
    <t xml:space="preserve">[AWS] / Aegis</t>
  </si>
  <si>
    <t xml:space="preserve">Gateway enforces hard caps before spend; AWS Budgets as account-level backstop (docs/05 §3).</t>
  </si>
  <si>
    <t xml:space="preserve">Labor rate / minutes saved</t>
  </si>
  <si>
    <t xml:space="preserve">customer</t>
  </si>
  <si>
    <t xml:space="preserve">Fully-loaded hourly cost and handle-time reduction are customer-specific; placeholders shown.</t>
  </si>
  <si>
    <t xml:space="preserve">Platform / implementation cost</t>
  </si>
  <si>
    <t xml:space="preserve">customer / partner</t>
  </si>
  <si>
    <t xml:space="preserve">Scoped per engagement (connectors, IdP, packs, ATO prep); see docs/10 RACI.</t>
  </si>
  <si>
    <t xml:space="preserve">Evidence tiers:</t>
  </si>
  <si>
    <t xml:space="preserve">[AWS] AWS official docs / what's-new / blogs</t>
  </si>
  <si>
    <t xml:space="preserve">[GOV] government / regulator / standards body</t>
  </si>
  <si>
    <t xml:space="preserve">[ANALYST] analyst or vendor-reported (label illustrative on-slide)</t>
  </si>
  <si>
    <t xml:space="preserve">Grounded in the Aegis repo SOURCES.md and docs/05 (FinOps). Gartner self-service economics reused from the predecessor SLG evidence base and remain labeled by tier.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</si>
</sst>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%;\(0.0%\);\-"/>
    <numFmt numFmtId="167" formatCode="\$#,##0.00;&quot;($&quot;#,##0.00\);\-"/>
    <numFmt numFmtId="168" formatCode="#,##0.0;\(#,##0.0\);\-"/>
    <numFmt numFmtId="169" formatCode="\$#,##0;&quot;($&quot;#,##0\);\-"/>
    <numFmt numFmtId="170" formatCode="0.0&quot; mo&quot;;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1"/>
      <color rgb="FF2E4E86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color rgb="FF2E4E86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B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EAF0FA"/>
      </patternFill>
    </fill>
    <fill>
      <patternFill patternType="solid">
        <fgColor rgb="FFEAF0FA"/>
        <bgColor rgb="FFD9E2F3"/>
      </patternFill>
    </fill>
    <fill>
      <patternFill patternType="solid">
        <fgColor rgb="FFFFFFFF"/>
        <bgColor rgb="FFEAF0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AF0FA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4E8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44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  <c r="C6" s="5"/>
      <c r="D6" s="5"/>
      <c r="E6" s="5"/>
    </row>
    <row r="7" customFormat="false" ht="15" hidden="false" customHeight="false" outlineLevel="0" collapsed="false">
      <c r="B7" s="6" t="s">
        <v>4</v>
      </c>
      <c r="C7" s="7" t="n">
        <v>500000</v>
      </c>
      <c r="D7" s="3" t="s">
        <v>5</v>
      </c>
      <c r="E7" s="3" t="s">
        <v>6</v>
      </c>
    </row>
    <row r="8" customFormat="false" ht="15" hidden="false" customHeight="false" outlineLevel="0" collapsed="false">
      <c r="B8" s="6" t="s">
        <v>7</v>
      </c>
      <c r="C8" s="8" t="n">
        <v>0.3</v>
      </c>
      <c r="D8" s="3"/>
      <c r="E8" s="3" t="s">
        <v>8</v>
      </c>
    </row>
    <row r="9" customFormat="false" ht="15" hidden="false" customHeight="false" outlineLevel="0" collapsed="false">
      <c r="B9" s="6" t="s">
        <v>9</v>
      </c>
      <c r="C9" s="8" t="n">
        <v>0.5</v>
      </c>
      <c r="D9" s="3"/>
      <c r="E9" s="3" t="s">
        <v>10</v>
      </c>
    </row>
    <row r="11" customFormat="false" ht="15" hidden="false" customHeight="false" outlineLevel="0" collapsed="false">
      <c r="B11" s="4" t="s">
        <v>11</v>
      </c>
      <c r="C11" s="5"/>
      <c r="D11" s="5"/>
      <c r="E11" s="5"/>
    </row>
    <row r="12" customFormat="false" ht="15" hidden="false" customHeight="false" outlineLevel="0" collapsed="false">
      <c r="B12" s="6" t="s">
        <v>12</v>
      </c>
      <c r="C12" s="9" t="n">
        <v>8.01</v>
      </c>
      <c r="D12" s="3" t="s">
        <v>13</v>
      </c>
      <c r="E12" s="3" t="s">
        <v>14</v>
      </c>
    </row>
    <row r="13" customFormat="false" ht="15" hidden="false" customHeight="false" outlineLevel="0" collapsed="false">
      <c r="B13" s="6" t="s">
        <v>15</v>
      </c>
      <c r="C13" s="9" t="n">
        <v>0.1</v>
      </c>
      <c r="D13" s="3" t="s">
        <v>13</v>
      </c>
      <c r="E13" s="3" t="s">
        <v>14</v>
      </c>
    </row>
    <row r="15" customFormat="false" ht="15" hidden="false" customHeight="false" outlineLevel="0" collapsed="false">
      <c r="B15" s="4" t="s">
        <v>16</v>
      </c>
      <c r="C15" s="5"/>
      <c r="D15" s="5"/>
      <c r="E15" s="5"/>
    </row>
    <row r="16" customFormat="false" ht="15" hidden="false" customHeight="false" outlineLevel="0" collapsed="false">
      <c r="B16" s="6" t="s">
        <v>17</v>
      </c>
      <c r="C16" s="10" t="n">
        <v>6</v>
      </c>
      <c r="D16" s="3" t="s">
        <v>18</v>
      </c>
      <c r="E16" s="3" t="s">
        <v>19</v>
      </c>
    </row>
    <row r="17" customFormat="false" ht="15" hidden="false" customHeight="false" outlineLevel="0" collapsed="false">
      <c r="B17" s="6" t="s">
        <v>20</v>
      </c>
      <c r="C17" s="9" t="n">
        <v>55</v>
      </c>
      <c r="D17" s="3" t="s">
        <v>21</v>
      </c>
      <c r="E17" s="3" t="s">
        <v>22</v>
      </c>
    </row>
    <row r="19" customFormat="false" ht="15" hidden="false" customHeight="false" outlineLevel="0" collapsed="false">
      <c r="B19" s="4" t="s">
        <v>23</v>
      </c>
      <c r="C19" s="5"/>
      <c r="D19" s="5"/>
      <c r="E19" s="5"/>
    </row>
    <row r="20" customFormat="false" ht="15" hidden="false" customHeight="false" outlineLevel="0" collapsed="false">
      <c r="B20" s="6" t="s">
        <v>24</v>
      </c>
      <c r="C20" s="7" t="n">
        <v>4000</v>
      </c>
      <c r="D20" s="3" t="s">
        <v>25</v>
      </c>
      <c r="E20" s="3" t="s">
        <v>26</v>
      </c>
    </row>
    <row r="21" customFormat="false" ht="15" hidden="false" customHeight="false" outlineLevel="0" collapsed="false">
      <c r="B21" s="6" t="s">
        <v>27</v>
      </c>
      <c r="C21" s="9" t="n">
        <v>0.3</v>
      </c>
      <c r="D21" s="3" t="s">
        <v>28</v>
      </c>
      <c r="E21" s="11" t="s">
        <v>29</v>
      </c>
    </row>
    <row r="23" customFormat="false" ht="15" hidden="false" customHeight="false" outlineLevel="0" collapsed="false">
      <c r="B23" s="4" t="s">
        <v>30</v>
      </c>
      <c r="C23" s="5"/>
      <c r="D23" s="5"/>
      <c r="E23" s="5"/>
    </row>
    <row r="24" customFormat="false" ht="15" hidden="false" customHeight="false" outlineLevel="0" collapsed="false">
      <c r="B24" s="6" t="s">
        <v>31</v>
      </c>
      <c r="C24" s="7" t="n">
        <v>3</v>
      </c>
      <c r="D24" s="3" t="s">
        <v>32</v>
      </c>
      <c r="E24" s="3" t="s">
        <v>33</v>
      </c>
    </row>
    <row r="25" customFormat="false" ht="15" hidden="false" customHeight="false" outlineLevel="0" collapsed="false">
      <c r="B25" s="6" t="s">
        <v>34</v>
      </c>
      <c r="C25" s="12" t="n">
        <v>240000</v>
      </c>
      <c r="D25" s="3" t="s">
        <v>35</v>
      </c>
      <c r="E25" s="3" t="s">
        <v>36</v>
      </c>
    </row>
    <row r="26" customFormat="false" ht="15" hidden="false" customHeight="false" outlineLevel="0" collapsed="false">
      <c r="B26" s="6" t="s">
        <v>37</v>
      </c>
      <c r="C26" s="12" t="n">
        <v>350000</v>
      </c>
      <c r="D26" s="3" t="s">
        <v>38</v>
      </c>
      <c r="E26" s="3" t="s">
        <v>39</v>
      </c>
    </row>
    <row r="29" customFormat="false" ht="15" hidden="false" customHeight="false" outlineLevel="0" collapsed="false">
      <c r="B29" s="13" t="s">
        <v>40</v>
      </c>
    </row>
    <row r="30" customFormat="false" ht="15" hidden="false" customHeight="false" outlineLevel="0" collapsed="false">
      <c r="B30" s="14" t="s">
        <v>41</v>
      </c>
    </row>
    <row r="31" customFormat="false" ht="15" hidden="false" customHeight="false" outlineLevel="0" collapsed="false">
      <c r="B31" s="15" t="s">
        <v>42</v>
      </c>
    </row>
    <row r="32" customFormat="false" ht="15" hidden="false" customHeight="false" outlineLevel="0" collapsed="false">
      <c r="B32" s="16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6" min="5" style="0" width="14"/>
    <col collapsed="false" customWidth="true" hidden="false" outlineLevel="0" max="9" min="7" style="0" width="13"/>
    <col collapsed="false" customWidth="true" hidden="false" outlineLevel="0" max="10" min="10" style="0" width="10"/>
  </cols>
  <sheetData>
    <row r="2" customFormat="false" ht="19.7" hidden="false" customHeight="false" outlineLevel="0" collapsed="false">
      <c r="B2" s="1" t="s">
        <v>44</v>
      </c>
    </row>
    <row r="3" customFormat="false" ht="15" hidden="false" customHeight="false" outlineLevel="0" collapsed="false">
      <c r="B3" s="3" t="s">
        <v>45</v>
      </c>
    </row>
    <row r="5" customFormat="false" ht="15" hidden="false" customHeight="false" outlineLevel="0" collapsed="false">
      <c r="B5" s="5" t="s">
        <v>46</v>
      </c>
      <c r="C5" s="5"/>
      <c r="D5" s="5"/>
    </row>
    <row r="6" customFormat="false" ht="15" hidden="false" customHeight="false" outlineLevel="0" collapsed="false">
      <c r="B6" s="6" t="s">
        <v>47</v>
      </c>
      <c r="C6" s="17" t="n">
        <f aca="false">Assumptions!C7*Assumptions!C8</f>
        <v>150000</v>
      </c>
      <c r="D6" s="3" t="s">
        <v>48</v>
      </c>
    </row>
    <row r="7" customFormat="false" ht="15" hidden="false" customHeight="false" outlineLevel="0" collapsed="false">
      <c r="B7" s="6" t="s">
        <v>49</v>
      </c>
      <c r="C7" s="17" t="n">
        <f aca="false">Assumptions!C7*(1-Assumptions!C8)*Assumptions!C9</f>
        <v>175000</v>
      </c>
      <c r="D7" s="3" t="s">
        <v>50</v>
      </c>
    </row>
    <row r="9" customFormat="false" ht="15" hidden="false" customHeight="false" outlineLevel="0" collapsed="false">
      <c r="B9" s="5" t="s">
        <v>51</v>
      </c>
      <c r="C9" s="5"/>
      <c r="D9" s="5"/>
    </row>
    <row r="10" customFormat="false" ht="15" hidden="false" customHeight="false" outlineLevel="0" collapsed="false">
      <c r="B10" s="6" t="s">
        <v>52</v>
      </c>
      <c r="C10" s="18" t="n">
        <f aca="false">C6*(Assumptions!C12-Assumptions!C13)</f>
        <v>1186500</v>
      </c>
      <c r="D10" s="3" t="s">
        <v>53</v>
      </c>
    </row>
    <row r="11" customFormat="false" ht="15" hidden="false" customHeight="false" outlineLevel="0" collapsed="false">
      <c r="B11" s="6" t="s">
        <v>54</v>
      </c>
      <c r="C11" s="18" t="n">
        <f aca="false">C7*Assumptions!C16/60*Assumptions!C17</f>
        <v>962500</v>
      </c>
      <c r="D11" s="3" t="s">
        <v>55</v>
      </c>
    </row>
    <row r="12" customFormat="false" ht="15" hidden="false" customHeight="false" outlineLevel="0" collapsed="false">
      <c r="B12" s="19" t="s">
        <v>56</v>
      </c>
      <c r="C12" s="20" t="n">
        <f aca="false">C10+C11</f>
        <v>2149000</v>
      </c>
      <c r="D12" s="3" t="s">
        <v>57</v>
      </c>
    </row>
    <row r="14" customFormat="false" ht="15" hidden="false" customHeight="false" outlineLevel="0" collapsed="false">
      <c r="B14" s="5" t="s">
        <v>58</v>
      </c>
      <c r="C14" s="5"/>
      <c r="D14" s="5"/>
    </row>
    <row r="15" customFormat="false" ht="15" hidden="false" customHeight="false" outlineLevel="0" collapsed="false">
      <c r="B15" s="6" t="s">
        <v>59</v>
      </c>
      <c r="C15" s="18" t="n">
        <f aca="false">Assumptions!C7*Assumptions!C20*Assumptions!C21/1000</f>
        <v>600000</v>
      </c>
      <c r="D15" s="3" t="s">
        <v>60</v>
      </c>
    </row>
    <row r="16" customFormat="false" ht="15" hidden="false" customHeight="false" outlineLevel="0" collapsed="false">
      <c r="B16" s="6" t="s">
        <v>61</v>
      </c>
      <c r="C16" s="21" t="n">
        <f aca="false">Assumptions!C25</f>
        <v>240000</v>
      </c>
      <c r="D16" s="3" t="s">
        <v>62</v>
      </c>
    </row>
    <row r="17" customFormat="false" ht="15" hidden="false" customHeight="false" outlineLevel="0" collapsed="false">
      <c r="B17" s="19" t="s">
        <v>63</v>
      </c>
      <c r="C17" s="20" t="n">
        <f aca="false">C15+C16</f>
        <v>840000</v>
      </c>
      <c r="D17" s="3" t="s">
        <v>64</v>
      </c>
    </row>
    <row r="19" customFormat="false" ht="15" hidden="false" customHeight="false" outlineLevel="0" collapsed="false">
      <c r="B19" s="5" t="s">
        <v>65</v>
      </c>
      <c r="C19" s="5"/>
      <c r="D19" s="5"/>
    </row>
    <row r="20" customFormat="false" ht="15" hidden="false" customHeight="false" outlineLevel="0" collapsed="false">
      <c r="B20" s="22" t="s">
        <v>66</v>
      </c>
      <c r="C20" s="23" t="n">
        <f aca="false">C12-C17</f>
        <v>1309000</v>
      </c>
      <c r="D20" s="3" t="s">
        <v>67</v>
      </c>
    </row>
    <row r="21" customFormat="false" ht="15" hidden="false" customHeight="false" outlineLevel="0" collapsed="false">
      <c r="B21" s="13" t="s">
        <v>68</v>
      </c>
      <c r="C21" s="24" t="n">
        <f aca="false">IF(C17=0,"n/a",C20/C17)</f>
        <v>1.55833333333333</v>
      </c>
      <c r="D21" s="3" t="s">
        <v>69</v>
      </c>
    </row>
    <row r="22" customFormat="false" ht="15" hidden="false" customHeight="false" outlineLevel="0" collapsed="false">
      <c r="B22" s="13" t="s">
        <v>70</v>
      </c>
      <c r="C22" s="25" t="n">
        <f aca="false">IF(C20&lt;=0,"n/a",Assumptions!C26/(C20/12))</f>
        <v>3.20855614973262</v>
      </c>
      <c r="D22" s="3" t="s">
        <v>71</v>
      </c>
    </row>
    <row r="23" customFormat="false" ht="15" hidden="false" customHeight="false" outlineLevel="0" collapsed="false">
      <c r="B23" s="6" t="s">
        <v>72</v>
      </c>
      <c r="C23" s="18" t="n">
        <f aca="false">C20-Assumptions!C26</f>
        <v>959000</v>
      </c>
      <c r="D23" s="3" t="s">
        <v>73</v>
      </c>
    </row>
    <row r="26" customFormat="false" ht="15" hidden="false" customHeight="false" outlineLevel="0" collapsed="false">
      <c r="B26" s="26" t="s">
        <v>74</v>
      </c>
    </row>
    <row r="27" customFormat="false" ht="15" hidden="false" customHeight="false" outlineLevel="0" collapsed="false">
      <c r="B27" s="27" t="s">
        <v>75</v>
      </c>
      <c r="C27" s="27" t="s">
        <v>76</v>
      </c>
      <c r="D27" s="27" t="s">
        <v>52</v>
      </c>
      <c r="E27" s="27" t="s">
        <v>77</v>
      </c>
      <c r="F27" s="27" t="s">
        <v>78</v>
      </c>
      <c r="G27" s="27" t="s">
        <v>79</v>
      </c>
      <c r="H27" s="27" t="s">
        <v>80</v>
      </c>
      <c r="I27" s="27" t="s">
        <v>81</v>
      </c>
      <c r="J27" s="27" t="s">
        <v>82</v>
      </c>
    </row>
    <row r="28" customFormat="false" ht="15" hidden="false" customHeight="false" outlineLevel="0" collapsed="false">
      <c r="B28" s="28" t="s">
        <v>83</v>
      </c>
      <c r="C28" s="8" t="n">
        <v>0.15</v>
      </c>
      <c r="D28" s="29" t="n">
        <f aca="false">Assumptions!C7*C28*(Assumptions!C12-Assumptions!C13)</f>
        <v>593250</v>
      </c>
      <c r="E28" s="29" t="n">
        <f aca="false">Assumptions!C7*(1-C28)*Assumptions!C9*Assumptions!C16/60*Assumptions!C17</f>
        <v>1168750</v>
      </c>
      <c r="F28" s="29" t="n">
        <f aca="false">D28+E28</f>
        <v>1762000</v>
      </c>
      <c r="G28" s="29" t="n">
        <f aca="false">Assumptions!C7*Assumptions!C20*Assumptions!C21/1000+Assumptions!C25</f>
        <v>840000</v>
      </c>
      <c r="H28" s="29" t="n">
        <f aca="false">F28-G28</f>
        <v>922000</v>
      </c>
      <c r="I28" s="30" t="n">
        <f aca="false">IF(G28=0,"n/a",H28/G28)</f>
        <v>1.09761904761905</v>
      </c>
      <c r="J28" s="31" t="n">
        <f aca="false">IF(H28&lt;=0,"n/a",Assumptions!C26/(H28/12))</f>
        <v>4.55531453362256</v>
      </c>
    </row>
    <row r="29" customFormat="false" ht="15" hidden="false" customHeight="false" outlineLevel="0" collapsed="false">
      <c r="B29" s="32" t="s">
        <v>84</v>
      </c>
      <c r="C29" s="8" t="n">
        <v>0.3</v>
      </c>
      <c r="D29" s="33" t="n">
        <f aca="false">Assumptions!C7*C29*(Assumptions!C12-Assumptions!C13)</f>
        <v>1186500</v>
      </c>
      <c r="E29" s="33" t="n">
        <f aca="false">Assumptions!C7*(1-C29)*Assumptions!C9*Assumptions!C16/60*Assumptions!C17</f>
        <v>962500</v>
      </c>
      <c r="F29" s="33" t="n">
        <f aca="false">D29+E29</f>
        <v>2149000</v>
      </c>
      <c r="G29" s="33" t="n">
        <f aca="false">Assumptions!C7*Assumptions!C20*Assumptions!C21/1000+Assumptions!C25</f>
        <v>840000</v>
      </c>
      <c r="H29" s="33" t="n">
        <f aca="false">F29-G29</f>
        <v>1309000</v>
      </c>
      <c r="I29" s="34" t="n">
        <f aca="false">IF(G29=0,"n/a",H29/G29)</f>
        <v>1.55833333333333</v>
      </c>
      <c r="J29" s="35" t="n">
        <f aca="false">IF(H29&lt;=0,"n/a",Assumptions!C26/(H29/12))</f>
        <v>3.20855614973262</v>
      </c>
    </row>
    <row r="30" customFormat="false" ht="15" hidden="false" customHeight="false" outlineLevel="0" collapsed="false">
      <c r="B30" s="28" t="s">
        <v>85</v>
      </c>
      <c r="C30" s="8" t="n">
        <v>0.45</v>
      </c>
      <c r="D30" s="29" t="n">
        <f aca="false">Assumptions!C7*C30*(Assumptions!C12-Assumptions!C13)</f>
        <v>1779750</v>
      </c>
      <c r="E30" s="29" t="n">
        <f aca="false">Assumptions!C7*(1-C30)*Assumptions!C9*Assumptions!C16/60*Assumptions!C17</f>
        <v>756250</v>
      </c>
      <c r="F30" s="29" t="n">
        <f aca="false">D30+E30</f>
        <v>2536000</v>
      </c>
      <c r="G30" s="29" t="n">
        <f aca="false">Assumptions!C7*Assumptions!C20*Assumptions!C21/1000+Assumptions!C25</f>
        <v>840000</v>
      </c>
      <c r="H30" s="29" t="n">
        <f aca="false">F30-G30</f>
        <v>1696000</v>
      </c>
      <c r="I30" s="30" t="n">
        <f aca="false">IF(G30=0,"n/a",H30/G30)</f>
        <v>2.01904761904762</v>
      </c>
      <c r="J30" s="31" t="n">
        <f aca="false">IF(H30&lt;=0,"n/a",Assumptions!C26/(H30/12))</f>
        <v>2.47641509433962</v>
      </c>
    </row>
    <row r="31" customFormat="false" ht="15" hidden="false" customHeight="false" outlineLevel="0" collapsed="false">
      <c r="B31" s="3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4"/>
  </cols>
  <sheetData>
    <row r="2" customFormat="false" ht="19.7" hidden="false" customHeight="false" outlineLevel="0" collapsed="false">
      <c r="B2" s="1" t="s">
        <v>87</v>
      </c>
    </row>
    <row r="3" customFormat="false" ht="15" hidden="false" customHeight="false" outlineLevel="0" collapsed="false">
      <c r="B3" s="3" t="s">
        <v>88</v>
      </c>
    </row>
    <row r="4" customFormat="false" ht="15" hidden="false" customHeight="false" outlineLevel="0" collapsed="false">
      <c r="B4" s="3" t="s">
        <v>89</v>
      </c>
    </row>
    <row r="6" customFormat="false" ht="15" hidden="false" customHeight="false" outlineLevel="0" collapsed="false">
      <c r="B6" s="27" t="s">
        <v>90</v>
      </c>
      <c r="C6" s="27" t="s">
        <v>91</v>
      </c>
      <c r="D6" s="27" t="s">
        <v>92</v>
      </c>
      <c r="E6" s="27" t="s">
        <v>93</v>
      </c>
      <c r="F6" s="27" t="s">
        <v>94</v>
      </c>
      <c r="G6" s="27" t="s">
        <v>95</v>
      </c>
      <c r="H6" s="27" t="s">
        <v>96</v>
      </c>
    </row>
    <row r="7" customFormat="false" ht="15" hidden="false" customHeight="false" outlineLevel="0" collapsed="false">
      <c r="B7" s="28" t="s">
        <v>97</v>
      </c>
      <c r="C7" s="36" t="s">
        <v>98</v>
      </c>
      <c r="D7" s="37" t="s">
        <v>99</v>
      </c>
      <c r="E7" s="36" t="s">
        <v>100</v>
      </c>
      <c r="F7" s="7" t="n">
        <v>42000000</v>
      </c>
      <c r="G7" s="38" t="n">
        <f aca="false">F7*Assumptions!C21/1000</f>
        <v>12600</v>
      </c>
      <c r="H7" s="30" t="n">
        <f aca="false">IF($G$11=0,0,G7/$G$11)</f>
        <v>0.549019607843137</v>
      </c>
    </row>
    <row r="8" customFormat="false" ht="15" hidden="false" customHeight="false" outlineLevel="0" collapsed="false">
      <c r="B8" s="32" t="s">
        <v>101</v>
      </c>
      <c r="C8" s="39" t="s">
        <v>102</v>
      </c>
      <c r="D8" s="40" t="s">
        <v>103</v>
      </c>
      <c r="E8" s="39" t="s">
        <v>104</v>
      </c>
      <c r="F8" s="7" t="n">
        <v>18500000</v>
      </c>
      <c r="G8" s="41" t="n">
        <f aca="false">F8*Assumptions!C21/1000</f>
        <v>5550</v>
      </c>
      <c r="H8" s="34" t="n">
        <f aca="false">IF($G$11=0,0,G8/$G$11)</f>
        <v>0.241830065359477</v>
      </c>
    </row>
    <row r="9" customFormat="false" ht="15" hidden="false" customHeight="false" outlineLevel="0" collapsed="false">
      <c r="B9" s="28" t="s">
        <v>105</v>
      </c>
      <c r="C9" s="36" t="s">
        <v>106</v>
      </c>
      <c r="D9" s="37" t="s">
        <v>107</v>
      </c>
      <c r="E9" s="36" t="s">
        <v>108</v>
      </c>
      <c r="F9" s="7" t="n">
        <v>9800000</v>
      </c>
      <c r="G9" s="38" t="n">
        <f aca="false">F9*Assumptions!C21/1000</f>
        <v>2940</v>
      </c>
      <c r="H9" s="30" t="n">
        <f aca="false">IF($G$11=0,0,G9/$G$11)</f>
        <v>0.128104575163399</v>
      </c>
    </row>
    <row r="10" customFormat="false" ht="15" hidden="false" customHeight="false" outlineLevel="0" collapsed="false">
      <c r="B10" s="32" t="s">
        <v>109</v>
      </c>
      <c r="C10" s="39" t="s">
        <v>110</v>
      </c>
      <c r="D10" s="40" t="s">
        <v>111</v>
      </c>
      <c r="E10" s="39" t="s">
        <v>100</v>
      </c>
      <c r="F10" s="7" t="n">
        <v>6200000</v>
      </c>
      <c r="G10" s="41" t="n">
        <f aca="false">F10*Assumptions!C21/1000</f>
        <v>1860</v>
      </c>
      <c r="H10" s="34" t="n">
        <f aca="false">IF($G$11=0,0,G10/$G$11)</f>
        <v>0.0810457516339869</v>
      </c>
    </row>
    <row r="11" customFormat="false" ht="15" hidden="false" customHeight="false" outlineLevel="0" collapsed="false">
      <c r="B11" s="42" t="s">
        <v>112</v>
      </c>
      <c r="C11" s="43"/>
      <c r="D11" s="43"/>
      <c r="E11" s="43"/>
      <c r="F11" s="44" t="n">
        <f aca="false">SUM(F7:F10)</f>
        <v>76500000</v>
      </c>
      <c r="G11" s="45" t="n">
        <f aca="false">SUM(G7:G10)</f>
        <v>22950</v>
      </c>
      <c r="H11" s="46" t="n">
        <f aca="false">IF($G$11=0,0,SUM(H7:H10))</f>
        <v>1</v>
      </c>
    </row>
    <row r="13" customFormat="false" ht="15" hidden="false" customHeight="false" outlineLevel="0" collapsed="false">
      <c r="B13" s="3" t="s">
        <v>113</v>
      </c>
    </row>
    <row r="14" customFormat="false" ht="15" hidden="false" customHeight="false" outlineLevel="0" collapsed="false">
      <c r="B14" s="3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64"/>
  </cols>
  <sheetData>
    <row r="2" customFormat="false" ht="19.7" hidden="false" customHeight="false" outlineLevel="0" collapsed="false">
      <c r="B2" s="1" t="s">
        <v>115</v>
      </c>
    </row>
    <row r="4" customFormat="false" ht="48" hidden="false" customHeight="true" outlineLevel="0" collapsed="false">
      <c r="B4" s="47" t="s">
        <v>116</v>
      </c>
      <c r="C4" s="47"/>
      <c r="D4" s="47"/>
    </row>
    <row r="5" customFormat="false" ht="15" hidden="false" customHeight="false" outlineLevel="0" collapsed="false">
      <c r="B5" s="47"/>
      <c r="C5" s="47"/>
      <c r="D5" s="47"/>
    </row>
    <row r="6" customFormat="false" ht="15" hidden="false" customHeight="false" outlineLevel="0" collapsed="false">
      <c r="B6" s="47"/>
      <c r="C6" s="47"/>
      <c r="D6" s="47"/>
    </row>
    <row r="8" customFormat="false" ht="15" hidden="false" customHeight="false" outlineLevel="0" collapsed="false">
      <c r="B8" s="48" t="s">
        <v>117</v>
      </c>
      <c r="C8" s="48" t="s">
        <v>118</v>
      </c>
      <c r="D8" s="48" t="s">
        <v>119</v>
      </c>
    </row>
    <row r="9" customFormat="false" ht="22.35" hidden="false" customHeight="false" outlineLevel="0" collapsed="false">
      <c r="B9" s="49" t="s">
        <v>120</v>
      </c>
      <c r="C9" s="50" t="s">
        <v>121</v>
      </c>
      <c r="D9" s="51" t="s">
        <v>122</v>
      </c>
    </row>
    <row r="10" customFormat="false" ht="22.35" hidden="false" customHeight="false" outlineLevel="0" collapsed="false">
      <c r="B10" s="52" t="s">
        <v>123</v>
      </c>
      <c r="C10" s="53" t="s">
        <v>121</v>
      </c>
      <c r="D10" s="54" t="s">
        <v>122</v>
      </c>
    </row>
    <row r="11" customFormat="false" ht="23.85" hidden="false" customHeight="false" outlineLevel="0" collapsed="false">
      <c r="B11" s="49" t="s">
        <v>124</v>
      </c>
      <c r="C11" s="50" t="s">
        <v>125</v>
      </c>
      <c r="D11" s="51" t="s">
        <v>126</v>
      </c>
    </row>
    <row r="12" customFormat="false" ht="23.85" hidden="false" customHeight="false" outlineLevel="0" collapsed="false">
      <c r="B12" s="52" t="s">
        <v>127</v>
      </c>
      <c r="C12" s="53" t="s">
        <v>128</v>
      </c>
      <c r="D12" s="54" t="s">
        <v>129</v>
      </c>
    </row>
    <row r="13" customFormat="false" ht="23.85" hidden="false" customHeight="false" outlineLevel="0" collapsed="false">
      <c r="B13" s="49" t="s">
        <v>130</v>
      </c>
      <c r="C13" s="50" t="s">
        <v>128</v>
      </c>
      <c r="D13" s="51" t="s">
        <v>131</v>
      </c>
    </row>
    <row r="14" customFormat="false" ht="22.35" hidden="false" customHeight="false" outlineLevel="0" collapsed="false">
      <c r="B14" s="52" t="s">
        <v>132</v>
      </c>
      <c r="C14" s="53" t="s">
        <v>133</v>
      </c>
      <c r="D14" s="54" t="s">
        <v>134</v>
      </c>
    </row>
    <row r="15" customFormat="false" ht="22.35" hidden="false" customHeight="false" outlineLevel="0" collapsed="false">
      <c r="B15" s="49" t="s">
        <v>135</v>
      </c>
      <c r="C15" s="50" t="s">
        <v>136</v>
      </c>
      <c r="D15" s="51" t="s">
        <v>137</v>
      </c>
    </row>
    <row r="16" customFormat="false" ht="22.35" hidden="false" customHeight="false" outlineLevel="0" collapsed="false">
      <c r="B16" s="52" t="s">
        <v>138</v>
      </c>
      <c r="C16" s="53" t="s">
        <v>139</v>
      </c>
      <c r="D16" s="54" t="s">
        <v>140</v>
      </c>
    </row>
    <row r="17" customFormat="false" ht="15" hidden="false" customHeight="false" outlineLevel="0" collapsed="false">
      <c r="B17" s="49" t="s">
        <v>141</v>
      </c>
      <c r="C17" s="50" t="s">
        <v>142</v>
      </c>
      <c r="D17" s="51" t="s">
        <v>143</v>
      </c>
    </row>
    <row r="19" customFormat="false" ht="15" hidden="false" customHeight="false" outlineLevel="0" collapsed="false">
      <c r="B19" s="13" t="s">
        <v>144</v>
      </c>
    </row>
    <row r="20" customFormat="false" ht="15" hidden="false" customHeight="false" outlineLevel="0" collapsed="false">
      <c r="B20" s="3" t="s">
        <v>145</v>
      </c>
    </row>
    <row r="21" customFormat="false" ht="15" hidden="false" customHeight="false" outlineLevel="0" collapsed="false">
      <c r="B21" s="3" t="s">
        <v>146</v>
      </c>
    </row>
    <row r="22" customFormat="false" ht="15" hidden="false" customHeight="false" outlineLevel="0" collapsed="false">
      <c r="B22" s="3" t="s">
        <v>147</v>
      </c>
    </row>
    <row r="23" customFormat="false" ht="43.25" hidden="false" customHeight="false" outlineLevel="0" collapsed="false">
      <c r="B23" s="55" t="s">
        <v>148</v>
      </c>
    </row>
  </sheetData>
  <mergeCells count="1">
    <mergeCell ref="B4:D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2026-07-01T02:43:54Z</dcterms:created>
  <dc:creator>openpyxl</dc:creator>
  <dc:description/>
  <dc:language>en-US</dc:language>
  <cp:lastModifiedBy/>
  <dcterms:modified xsi:type="dcterms:W3CDTF">2026-07-01T02:43:54Z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